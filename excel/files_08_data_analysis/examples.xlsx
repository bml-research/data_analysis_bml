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nzenl-my.sharepoint.com/personal/j_hageman_pl_hanze_nl/Documents/web_pages/data_analysis_bml-r/data_analysis_bml/excel/files_08_data_analysis/"/>
    </mc:Choice>
  </mc:AlternateContent>
  <xr:revisionPtr revIDLastSave="79" documentId="8_{3B6CB5D2-D69F-49A5-A383-7E44225A4FE9}" xr6:coauthVersionLast="47" xr6:coauthVersionMax="47" xr10:uidLastSave="{B1E4EB9F-5E4E-467F-836A-1EC21DA22EA6}"/>
  <bookViews>
    <workbookView xWindow="-110" yWindow="-110" windowWidth="19420" windowHeight="11500" activeTab="6" xr2:uid="{EECC7863-79BC-4C52-BFCC-4F50C68B49DC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7" l="1" a="1"/>
  <c r="C1" i="7" s="1"/>
  <c r="A1" i="6" a="1"/>
  <c r="A1" i="6" s="1"/>
  <c r="E6" i="2" a="1"/>
  <c r="E6" i="2" s="1"/>
  <c r="E9" i="1" a="1"/>
  <c r="E9" i="1" s="1"/>
  <c r="E6" i="1"/>
  <c r="E3" i="1"/>
  <c r="E4" i="1"/>
  <c r="E5" i="1"/>
  <c r="E2" i="1"/>
  <c r="C8" i="5"/>
  <c r="D7" i="4"/>
  <c r="D3" i="4"/>
  <c r="D4" i="4"/>
  <c r="D5" i="4"/>
  <c r="D2" i="4"/>
  <c r="B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<sst xmlns="http://schemas.openxmlformats.org/spreadsheetml/2006/main" count="44" uniqueCount="16">
  <si>
    <t>Number of zebrafish</t>
  </si>
  <si>
    <t>Food type</t>
  </si>
  <si>
    <t>Average weight (g)</t>
  </si>
  <si>
    <t>Diet A</t>
  </si>
  <si>
    <t>Diet B</t>
  </si>
  <si>
    <t>Diet C</t>
  </si>
  <si>
    <t>Diet D</t>
  </si>
  <si>
    <t>Fish Tank #</t>
  </si>
  <si>
    <t>Grand total (g)</t>
  </si>
  <si>
    <t>Estimated total weight (g)</t>
  </si>
  <si>
    <t>Total</t>
  </si>
  <si>
    <t>fish</t>
  </si>
  <si>
    <t>Overweight</t>
  </si>
  <si>
    <t># Tanks with avarage fish weight overweight</t>
  </si>
  <si>
    <t>Lookup Key</t>
  </si>
  <si>
    <t>Result (lookup value)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</si>
</sst>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6F95C-C5F5-4083-BF39-9825B5A7F360}">
  <dimension ref="A1:E9"/>
  <sheetViews>
    <sheetView workbookViewId="0">
      <selection activeCell="E9" sqref="E9"/>
    </sheetView>
  </sheetViews>
  <sheetFormatPr defaultRowHeight="14.5" x14ac:dyDescent="0.35"/>
  <cols>
    <col min="1" max="1" width="9.7265625" bestFit="1" customWidth="1"/>
    <col min="2" max="2" width="12.90625" customWidth="1"/>
    <col min="3" max="3" width="20.453125" customWidth="1"/>
    <col min="4" max="4" width="17.54296875" customWidth="1"/>
    <col min="5" max="5" width="22.6328125" customWidth="1"/>
  </cols>
  <sheetData>
    <row r="1" spans="1:5" x14ac:dyDescent="0.35">
      <c r="A1" t="s">
        <v>7</v>
      </c>
      <c r="B1" t="s">
        <v>1</v>
      </c>
      <c r="C1" t="s">
        <v>0</v>
      </c>
      <c r="D1" t="s">
        <v>2</v>
      </c>
      <c r="E1" t="s">
        <v>9</v>
      </c>
    </row>
    <row r="2" spans="1:5" x14ac:dyDescent="0.35">
      <c r="A2">
        <v>1</v>
      </c>
      <c r="B2" s="1" t="s">
        <v>3</v>
      </c>
      <c r="C2">
        <v>12</v>
      </c>
      <c r="D2">
        <v>0.13400000000000001</v>
      </c>
      <c r="E2">
        <f>C2*D2</f>
        <v>1.6080000000000001</v>
      </c>
    </row>
    <row r="3" spans="1:5" x14ac:dyDescent="0.35">
      <c r="A3">
        <v>2</v>
      </c>
      <c r="B3" s="1" t="s">
        <v>4</v>
      </c>
      <c r="C3">
        <v>14</v>
      </c>
      <c r="D3">
        <v>7.9000000000000001E-2</v>
      </c>
      <c r="E3">
        <f t="shared" ref="E3:E5" si="0">C3*D3</f>
        <v>1.1060000000000001</v>
      </c>
    </row>
    <row r="4" spans="1:5" x14ac:dyDescent="0.35">
      <c r="A4">
        <v>3</v>
      </c>
      <c r="B4" s="1" t="s">
        <v>5</v>
      </c>
      <c r="C4">
        <v>33</v>
      </c>
      <c r="D4">
        <v>0.154</v>
      </c>
      <c r="E4">
        <f t="shared" si="0"/>
        <v>5.0819999999999999</v>
      </c>
    </row>
    <row r="5" spans="1:5" x14ac:dyDescent="0.35">
      <c r="A5">
        <v>4</v>
      </c>
      <c r="B5" s="1" t="s">
        <v>6</v>
      </c>
      <c r="C5">
        <v>24</v>
      </c>
      <c r="D5">
        <v>0.16200000000000001</v>
      </c>
      <c r="E5">
        <f t="shared" si="0"/>
        <v>3.8879999999999999</v>
      </c>
    </row>
    <row r="6" spans="1:5" x14ac:dyDescent="0.35">
      <c r="D6" t="s">
        <v>8</v>
      </c>
      <c r="E6">
        <f>SUM(E2:E5)</f>
        <v>11.684000000000001</v>
      </c>
    </row>
    <row r="9" spans="1:5" x14ac:dyDescent="0.35">
      <c r="D9" t="s">
        <v>8</v>
      </c>
      <c r="E9" cm="1">
        <f t="array" ref="E9">SUM(C2:C5*D2:D5)</f>
        <v>11.684000000000001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0B24A-2D1D-4F43-8C3B-6534A31F12E8}">
  <dimension ref="A1:E6"/>
  <sheetViews>
    <sheetView workbookViewId="0">
      <selection activeCell="E7" sqref="E7"/>
    </sheetView>
  </sheetViews>
  <sheetFormatPr defaultRowHeight="14.5" x14ac:dyDescent="0.35"/>
  <cols>
    <col min="1" max="1" width="9.7265625" bestFit="1" customWidth="1"/>
    <col min="2" max="2" width="8.6328125" bestFit="1" customWidth="1"/>
    <col min="3" max="3" width="17.08984375" bestFit="1" customWidth="1"/>
    <col min="4" max="4" width="15.54296875" bestFit="1" customWidth="1"/>
    <col min="5" max="5" width="21.54296875" bestFit="1" customWidth="1"/>
  </cols>
  <sheetData>
    <row r="1" spans="1:5" x14ac:dyDescent="0.35">
      <c r="A1" t="s">
        <v>7</v>
      </c>
      <c r="B1" t="s">
        <v>1</v>
      </c>
      <c r="C1" t="s">
        <v>0</v>
      </c>
      <c r="D1" t="s">
        <v>2</v>
      </c>
      <c r="E1" t="s">
        <v>9</v>
      </c>
    </row>
    <row r="2" spans="1:5" x14ac:dyDescent="0.35">
      <c r="A2">
        <v>1</v>
      </c>
      <c r="B2" s="1" t="s">
        <v>3</v>
      </c>
      <c r="C2">
        <v>12</v>
      </c>
      <c r="D2">
        <v>0.13400000000000001</v>
      </c>
    </row>
    <row r="3" spans="1:5" x14ac:dyDescent="0.35">
      <c r="A3">
        <v>2</v>
      </c>
      <c r="B3" s="1" t="s">
        <v>4</v>
      </c>
      <c r="C3">
        <v>14</v>
      </c>
      <c r="D3">
        <v>7.9000000000000001E-2</v>
      </c>
    </row>
    <row r="4" spans="1:5" x14ac:dyDescent="0.35">
      <c r="A4">
        <v>3</v>
      </c>
      <c r="B4" s="1" t="s">
        <v>5</v>
      </c>
      <c r="C4">
        <v>33</v>
      </c>
      <c r="D4">
        <v>0.154</v>
      </c>
    </row>
    <row r="5" spans="1:5" x14ac:dyDescent="0.35">
      <c r="A5">
        <v>4</v>
      </c>
      <c r="B5" s="1" t="s">
        <v>6</v>
      </c>
      <c r="C5">
        <v>24</v>
      </c>
      <c r="D5">
        <v>0.16200000000000001</v>
      </c>
    </row>
    <row r="6" spans="1:5" x14ac:dyDescent="0.35">
      <c r="D6" t="s">
        <v>8</v>
      </c>
      <c r="E6" cm="1">
        <f t="array" ref="E6">SUM(C2:C5*D2:D5)</f>
        <v>11.684000000000001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A1A71-DB72-42FA-976D-493E2BD55101}">
  <dimension ref="A1:C8"/>
  <sheetViews>
    <sheetView workbookViewId="0">
      <selection activeCell="I7" sqref="I7"/>
    </sheetView>
  </sheetViews>
  <sheetFormatPr defaultRowHeight="14.5" x14ac:dyDescent="0.35"/>
  <cols>
    <col min="1" max="1" width="9.7265625" bestFit="1" customWidth="1"/>
    <col min="2" max="2" width="44.54296875" customWidth="1"/>
  </cols>
  <sheetData>
    <row r="1" spans="1:3" x14ac:dyDescent="0.35">
      <c r="A1" t="s">
        <v>7</v>
      </c>
      <c r="B1" t="s">
        <v>0</v>
      </c>
    </row>
    <row r="2" spans="1:3" x14ac:dyDescent="0.35">
      <c r="A2">
        <v>1</v>
      </c>
      <c r="B2">
        <v>32</v>
      </c>
    </row>
    <row r="3" spans="1:3" x14ac:dyDescent="0.35">
      <c r="A3">
        <v>2</v>
      </c>
      <c r="B3">
        <v>14</v>
      </c>
    </row>
    <row r="4" spans="1:3" x14ac:dyDescent="0.35">
      <c r="A4">
        <v>3</v>
      </c>
      <c r="B4">
        <v>33</v>
      </c>
    </row>
    <row r="5" spans="1:3" x14ac:dyDescent="0.35">
      <c r="A5">
        <v>4</v>
      </c>
      <c r="B5">
        <v>24</v>
      </c>
    </row>
    <row r="8" spans="1:3" x14ac:dyDescent="0.35">
      <c r="A8" t="s">
        <v>10</v>
      </c>
      <c r="B8" t="str">
        <f>IF(SUM(B2:B5)&lt;100,SUM(B2:B5),"To many fish")</f>
        <v>To many fish</v>
      </c>
      <c r="C8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D163E-A8BD-461C-9841-108A4462030E}">
  <dimension ref="A1:D7"/>
  <sheetViews>
    <sheetView workbookViewId="0">
      <selection activeCell="D7" sqref="D7"/>
    </sheetView>
  </sheetViews>
  <sheetFormatPr defaultRowHeight="14.5" x14ac:dyDescent="0.35"/>
  <cols>
    <col min="1" max="1" width="9.7265625" bestFit="1" customWidth="1"/>
    <col min="2" max="2" width="8.6328125" bestFit="1" customWidth="1"/>
    <col min="3" max="3" width="35.90625" bestFit="1" customWidth="1"/>
    <col min="4" max="4" width="22.6328125" customWidth="1"/>
  </cols>
  <sheetData>
    <row r="1" spans="1:4" x14ac:dyDescent="0.35">
      <c r="A1" t="s">
        <v>7</v>
      </c>
      <c r="B1" t="s">
        <v>1</v>
      </c>
      <c r="C1" t="s">
        <v>2</v>
      </c>
      <c r="D1" t="s">
        <v>12</v>
      </c>
    </row>
    <row r="2" spans="1:4" x14ac:dyDescent="0.35">
      <c r="A2">
        <v>1</v>
      </c>
      <c r="B2" s="1" t="s">
        <v>3</v>
      </c>
      <c r="C2">
        <v>0.13400000000000001</v>
      </c>
      <c r="D2" t="b">
        <f>IF(C2&gt;0.12,TRUE,FALSE)</f>
        <v>1</v>
      </c>
    </row>
    <row r="3" spans="1:4" x14ac:dyDescent="0.35">
      <c r="A3">
        <v>2</v>
      </c>
      <c r="B3" s="1" t="s">
        <v>4</v>
      </c>
      <c r="C3">
        <v>7.9000000000000001E-2</v>
      </c>
      <c r="D3" t="b">
        <f t="shared" ref="D3:D5" si="0">IF(C3&gt;0.12,TRUE,FALSE)</f>
        <v>0</v>
      </c>
    </row>
    <row r="4" spans="1:4" x14ac:dyDescent="0.35">
      <c r="A4">
        <v>3</v>
      </c>
      <c r="B4" s="1" t="s">
        <v>5</v>
      </c>
      <c r="C4">
        <v>0.154</v>
      </c>
      <c r="D4" t="b">
        <f t="shared" si="0"/>
        <v>1</v>
      </c>
    </row>
    <row r="5" spans="1:4" x14ac:dyDescent="0.35">
      <c r="A5">
        <v>4</v>
      </c>
      <c r="B5" s="1" t="s">
        <v>6</v>
      </c>
      <c r="C5">
        <v>0.16200000000000001</v>
      </c>
      <c r="D5" t="b">
        <f t="shared" si="0"/>
        <v>1</v>
      </c>
    </row>
    <row r="7" spans="1:4" x14ac:dyDescent="0.35">
      <c r="C7" t="s">
        <v>13</v>
      </c>
      <c r="D7">
        <f>COUNTIF(D2:D5,TRUE)</f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BC361-D4A9-48D5-A402-0C7674805202}">
  <dimension ref="A1:C8"/>
  <sheetViews>
    <sheetView workbookViewId="0">
      <selection activeCell="C8" sqref="C8"/>
    </sheetView>
  </sheetViews>
  <sheetFormatPr defaultRowHeight="14.5" x14ac:dyDescent="0.35"/>
  <cols>
    <col min="1" max="1" width="9.7265625" bestFit="1" customWidth="1"/>
    <col min="2" max="2" width="9.81640625" bestFit="1" customWidth="1"/>
    <col min="3" max="3" width="15.54296875" bestFit="1" customWidth="1"/>
  </cols>
  <sheetData>
    <row r="1" spans="1:3" x14ac:dyDescent="0.35">
      <c r="A1" t="s">
        <v>7</v>
      </c>
      <c r="B1" t="s">
        <v>1</v>
      </c>
      <c r="C1" t="s">
        <v>2</v>
      </c>
    </row>
    <row r="2" spans="1:3" x14ac:dyDescent="0.35">
      <c r="A2">
        <v>1</v>
      </c>
      <c r="B2" s="1" t="s">
        <v>3</v>
      </c>
      <c r="C2">
        <v>0.13400000000000001</v>
      </c>
    </row>
    <row r="3" spans="1:3" x14ac:dyDescent="0.35">
      <c r="A3">
        <v>2</v>
      </c>
      <c r="B3" s="1" t="s">
        <v>4</v>
      </c>
      <c r="C3">
        <v>7.9000000000000001E-2</v>
      </c>
    </row>
    <row r="4" spans="1:3" x14ac:dyDescent="0.35">
      <c r="A4">
        <v>3</v>
      </c>
      <c r="B4" s="1" t="s">
        <v>5</v>
      </c>
      <c r="C4">
        <v>0.154</v>
      </c>
    </row>
    <row r="5" spans="1:3" x14ac:dyDescent="0.35">
      <c r="A5">
        <v>4</v>
      </c>
      <c r="B5" s="1" t="s">
        <v>6</v>
      </c>
      <c r="C5">
        <v>0.16200000000000001</v>
      </c>
    </row>
    <row r="7" spans="1:3" x14ac:dyDescent="0.35">
      <c r="B7" s="1" t="s">
        <v>14</v>
      </c>
      <c r="C7" t="s">
        <v>15</v>
      </c>
    </row>
    <row r="8" spans="1:3" x14ac:dyDescent="0.35">
      <c r="B8" s="1" t="s">
        <v>5</v>
      </c>
      <c r="C8">
        <f>_xlfn.XLOOKUP(B8,B2:B5,C2:C5)</f>
        <v>0.154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11E5D-1D30-4EAC-82FD-CD224ECFB60B}">
  <dimension ref="A1:A10"/>
  <sheetViews>
    <sheetView workbookViewId="0">
      <selection activeCell="C1" sqref="C1"/>
    </sheetView>
  </sheetViews>
  <sheetFormatPr defaultRowHeight="14.5" x14ac:dyDescent="0.35"/>
  <sheetData>
    <row r="1" spans="1:1" x14ac:dyDescent="0.35">
      <c r="A1" cm="1">
        <f t="array" ref="A1:A10">ROW(1:10)</f>
        <v>1</v>
      </c>
    </row>
    <row r="2" spans="1:1" x14ac:dyDescent="0.35">
      <c r="A2">
        <v>2</v>
      </c>
    </row>
    <row r="3" spans="1:1" x14ac:dyDescent="0.35">
      <c r="A3">
        <v>3</v>
      </c>
    </row>
    <row r="4" spans="1:1" x14ac:dyDescent="0.35">
      <c r="A4">
        <v>4</v>
      </c>
    </row>
    <row r="5" spans="1:1" x14ac:dyDescent="0.35">
      <c r="A5">
        <v>5</v>
      </c>
    </row>
    <row r="6" spans="1:1" x14ac:dyDescent="0.35">
      <c r="A6">
        <v>6</v>
      </c>
    </row>
    <row r="7" spans="1:1" x14ac:dyDescent="0.35">
      <c r="A7">
        <v>7</v>
      </c>
    </row>
    <row r="8" spans="1:1" x14ac:dyDescent="0.35">
      <c r="A8">
        <v>8</v>
      </c>
    </row>
    <row r="9" spans="1:1" x14ac:dyDescent="0.35">
      <c r="A9">
        <v>9</v>
      </c>
    </row>
    <row r="10" spans="1:1" x14ac:dyDescent="0.35">
      <c r="A10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4E4FA-27F5-4BDE-9736-FF7AD481BA1C}">
  <dimension ref="A1:L10"/>
  <sheetViews>
    <sheetView tabSelected="1" workbookViewId="0">
      <selection activeCell="C1" sqref="C1"/>
    </sheetView>
  </sheetViews>
  <sheetFormatPr defaultRowHeight="14.5" x14ac:dyDescent="0.35"/>
  <sheetData>
    <row r="1" spans="1:12" x14ac:dyDescent="0.35">
      <c r="A1">
        <v>1</v>
      </c>
      <c r="C1" cm="1">
        <f t="array" ref="C1:L1">TRANSPOSE(A1:A10)</f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</row>
    <row r="2" spans="1:12" x14ac:dyDescent="0.35">
      <c r="A2">
        <v>2</v>
      </c>
    </row>
    <row r="3" spans="1:12" x14ac:dyDescent="0.35">
      <c r="A3">
        <v>3</v>
      </c>
    </row>
    <row r="4" spans="1:12" x14ac:dyDescent="0.35">
      <c r="A4">
        <v>4</v>
      </c>
    </row>
    <row r="5" spans="1:12" x14ac:dyDescent="0.35">
      <c r="A5">
        <v>5</v>
      </c>
    </row>
    <row r="6" spans="1:12" x14ac:dyDescent="0.35">
      <c r="A6">
        <v>6</v>
      </c>
    </row>
    <row r="7" spans="1:12" x14ac:dyDescent="0.35">
      <c r="A7">
        <v>7</v>
      </c>
    </row>
    <row r="8" spans="1:12" x14ac:dyDescent="0.35">
      <c r="A8">
        <v>8</v>
      </c>
    </row>
    <row r="9" spans="1:12" x14ac:dyDescent="0.35">
      <c r="A9">
        <v>9</v>
      </c>
    </row>
    <row r="10" spans="1:12" x14ac:dyDescent="0.35">
      <c r="A1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Hageman J, Jurre</dc:creator>
  <cp:lastModifiedBy>Hageman J, Jurre</cp:lastModifiedBy>
  <dcterms:created xsi:type="dcterms:W3CDTF">2024-05-24T10:44:42Z</dcterms:created>
  <dcterms:modified xsi:type="dcterms:W3CDTF">2026-09-21T19:07:11Z</dcterms:modified>
</cp:coreProperties>
</file>